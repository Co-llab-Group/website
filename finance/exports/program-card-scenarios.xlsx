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Zone 1 Detail" sheetId="2" state="visible" r:id="rId4"/>
    <sheet name="Zone 2 Detail" sheetId="3" state="visible" r:id="rId5"/>
    <sheet name="Zone 3 Detail" sheetId="4" state="visible" r:id="rId6"/>
    <sheet name="Pro Forma Quick Look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<sst xmlns="http://schemas.openxmlformats.org/spreadsheetml/2006/main" count="223" uniqueCount="124">
  <si>
    <t xml:space="preserve">Starter</t>
  </si>
  <si>
    <t xml:space="preserve">Right-Sized</t>
  </si>
  <si>
    <t xml:space="preserve">Three Buildings</t>
  </si>
  <si>
    <t xml:space="preserve">Max Density</t>
  </si>
  <si>
    <t xml:space="preserve">ZONE 1 — L-Shape Mixed-Use</t>
  </si>
  <si>
    <t xml:space="preserve">Stories</t>
  </si>
  <si>
    <t xml:space="preserve">Footprint (sf)</t>
  </si>
  <si>
    <t xml:space="preserve">Gross SF</t>
  </si>
  <si>
    <t xml:space="preserve">Retail SF</t>
  </si>
  <si>
    <t xml:space="preserve">Units</t>
  </si>
  <si>
    <t xml:space="preserve">ZONE 2 — Colerain Frontage (Res)</t>
  </si>
  <si>
    <t xml:space="preserve">Type</t>
  </si>
  <si>
    <t xml:space="preserve">Townhomes</t>
  </si>
  <si>
    <t xml:space="preserve">Walk-up</t>
  </si>
  <si>
    <t xml:space="preserve">ZONE 3 — N Bend Frontage (Mixed)</t>
  </si>
  <si>
    <t xml:space="preserve">—</t>
  </si>
  <si>
    <t xml:space="preserve">Future phase</t>
  </si>
  <si>
    <t xml:space="preserve">Green/parking</t>
  </si>
  <si>
    <t xml:space="preserve">Walk-up MU</t>
  </si>
  <si>
    <t xml:space="preserve">Retail/flex SF</t>
  </si>
  <si>
    <t xml:space="preserve">ZONE 4 — Hillside</t>
  </si>
  <si>
    <t xml:space="preserve">Green buffer / trails / bioswales</t>
  </si>
  <si>
    <t xml:space="preserve">Green</t>
  </si>
  <si>
    <t xml:space="preserve">Area: 30,348 sf (0.7 ac) · Cost: ~$200k</t>
  </si>
  <si>
    <t xml:space="preserve">TOTALS</t>
  </si>
  <si>
    <t xml:space="preserve">Total units</t>
  </si>
  <si>
    <t xml:space="preserve">Total gross SF</t>
  </si>
  <si>
    <t xml:space="preserve">Total retail SF</t>
  </si>
  <si>
    <t xml:space="preserve">Buildings</t>
  </si>
  <si>
    <t xml:space="preserve">Max height (ft)</t>
  </si>
  <si>
    <t xml:space="preserve">Construction</t>
  </si>
  <si>
    <t xml:space="preserve">All wood</t>
  </si>
  <si>
    <t xml:space="preserve">5-over-1 + wood</t>
  </si>
  <si>
    <t xml:space="preserve">TDC</t>
  </si>
  <si>
    <t xml:space="preserve">Density used</t>
  </si>
  <si>
    <t xml:space="preserve">Zone 1 — L-Shape Mixed-Use</t>
  </si>
  <si>
    <t xml:space="preserve">Starter (4-Story)</t>
  </si>
  <si>
    <t xml:space="preserve">Right-Sized+ (6-Story)</t>
  </si>
  <si>
    <t xml:space="preserve">4 (1 retail + 3 res)</t>
  </si>
  <si>
    <t xml:space="preserve">6 (1 retail + 5 res)</t>
  </si>
  <si>
    <t xml:space="preserve">Footprint</t>
  </si>
  <si>
    <t xml:space="preserve">Gross building SF</t>
  </si>
  <si>
    <t xml:space="preserve">Tuck-under parking SF</t>
  </si>
  <si>
    <t xml:space="preserve">Retail/commercial SF</t>
  </si>
  <si>
    <t xml:space="preserve">Residential gross SF</t>
  </si>
  <si>
    <t xml:space="preserve">Net rentable SF</t>
  </si>
  <si>
    <t xml:space="preserve">Construction type</t>
  </si>
  <si>
    <t xml:space="preserve">Wood frame (Type V)</t>
  </si>
  <si>
    <t xml:space="preserve">5-over-1</t>
  </si>
  <si>
    <t xml:space="preserve">Height</t>
  </si>
  <si>
    <t xml:space="preserve">~48 ft</t>
  </si>
  <si>
    <t xml:space="preserve">~72 ft</t>
  </si>
  <si>
    <t xml:space="preserve">Parking (tuck-under)</t>
  </si>
  <si>
    <t xml:space="preserve">~40 stalls</t>
  </si>
  <si>
    <t xml:space="preserve">UNIT MIX</t>
  </si>
  <si>
    <t xml:space="preserve">Unit Type</t>
  </si>
  <si>
    <t xml:space="preserve">SF</t>
  </si>
  <si>
    <t xml:space="preserve">Starter (45)</t>
  </si>
  <si>
    <t xml:space="preserve">%</t>
  </si>
  <si>
    <t xml:space="preserve">Right-Sized (75)</t>
  </si>
  <si>
    <t xml:space="preserve">Studio</t>
  </si>
  <si>
    <t xml:space="preserve">1BR</t>
  </si>
  <si>
    <t xml:space="preserve">2BR</t>
  </si>
  <si>
    <t xml:space="preserve">3BR</t>
  </si>
  <si>
    <t xml:space="preserve">Zone 2 — Colerain Frontage</t>
  </si>
  <si>
    <t xml:space="preserve">Townhomes (2-Story)</t>
  </si>
  <si>
    <t xml:space="preserve">3-Story Walk-up</t>
  </si>
  <si>
    <t xml:space="preserve">4-Story Walk-up</t>
  </si>
  <si>
    <t xml:space="preserve">Building type</t>
  </si>
  <si>
    <t xml:space="preserve">Row townhomes</t>
  </si>
  <si>
    <t xml:space="preserve">3-story walk-up</t>
  </si>
  <si>
    <t xml:space="preserve">4-story walk-up</t>
  </si>
  <si>
    <t xml:space="preserve">Wood frame</t>
  </si>
  <si>
    <t xml:space="preserve">~24 ft</t>
  </si>
  <si>
    <t xml:space="preserve">~34 ft</t>
  </si>
  <si>
    <t xml:space="preserve">~45 ft</t>
  </si>
  <si>
    <t xml:space="preserve">TH (12)</t>
  </si>
  <si>
    <t xml:space="preserve">3-Story (32)</t>
  </si>
  <si>
    <t xml:space="preserve">4-Story (53)</t>
  </si>
  <si>
    <t xml:space="preserve">2BR TH</t>
  </si>
  <si>
    <t xml:space="preserve">Zone 3 — N Bend Frontage</t>
  </si>
  <si>
    <t xml:space="preserve">3-Story (Three Bldgs)</t>
  </si>
  <si>
    <t xml:space="preserve">4-Story (Max Density)</t>
  </si>
  <si>
    <t xml:space="preserve">3 (1 flex + 2 res)</t>
  </si>
  <si>
    <t xml:space="preserve">4 (1 flex + 3 res)</t>
  </si>
  <si>
    <t xml:space="preserve">Walk-up mixed-use</t>
  </si>
  <si>
    <t xml:space="preserve">3-Story (24)</t>
  </si>
  <si>
    <t xml:space="preserve">4-Story (37)</t>
  </si>
  <si>
    <t xml:space="preserve">ASSUMPTIONS</t>
  </si>
  <si>
    <t xml:space="preserve">Avg rent — Studio (monthly)</t>
  </si>
  <si>
    <t xml:space="preserve">Avg rent — 1BR (monthly)</t>
  </si>
  <si>
    <t xml:space="preserve">Avg rent — 2BR (monthly)</t>
  </si>
  <si>
    <t xml:space="preserve">Avg rent — 3BR (monthly)</t>
  </si>
  <si>
    <t xml:space="preserve">Residential vacancy</t>
  </si>
  <si>
    <t xml:space="preserve">Commercial rent ($/sf NNN)</t>
  </si>
  <si>
    <t xml:space="preserve">Commercial vacancy</t>
  </si>
  <si>
    <t xml:space="preserve">OpEx per unit</t>
  </si>
  <si>
    <t xml:space="preserve">OpEx per commercial sf</t>
  </si>
  <si>
    <t xml:space="preserve">Cap rate</t>
  </si>
  <si>
    <t xml:space="preserve">CRA NPV per unit</t>
  </si>
  <si>
    <t xml:space="preserve">PROGRAM</t>
  </si>
  <si>
    <t xml:space="preserve">Studios</t>
  </si>
  <si>
    <t xml:space="preserve">3BR TH</t>
  </si>
  <si>
    <t xml:space="preserve">REVENUE</t>
  </si>
  <si>
    <t xml:space="preserve">Studio revenue</t>
  </si>
  <si>
    <t xml:space="preserve">1BR revenue</t>
  </si>
  <si>
    <t xml:space="preserve">2BR revenue</t>
  </si>
  <si>
    <t xml:space="preserve">3BR revenue</t>
  </si>
  <si>
    <t xml:space="preserve">Gross residential</t>
  </si>
  <si>
    <t xml:space="preserve">Net residential</t>
  </si>
  <si>
    <t xml:space="preserve">Gross commercial</t>
  </si>
  <si>
    <t xml:space="preserve">Net commercial</t>
  </si>
  <si>
    <t xml:space="preserve">Effective Gross Income</t>
  </si>
  <si>
    <t xml:space="preserve">OPERATING EXPENSES</t>
  </si>
  <si>
    <t xml:space="preserve">Residential OpEx</t>
  </si>
  <si>
    <t xml:space="preserve">Commercial OpEx</t>
  </si>
  <si>
    <t xml:space="preserve">Total OpEx</t>
  </si>
  <si>
    <t xml:space="preserve">RETURNS</t>
  </si>
  <si>
    <t xml:space="preserve">NOI</t>
  </si>
  <si>
    <t xml:space="preserve">Stabilized value (NOI / cap)</t>
  </si>
  <si>
    <t xml:space="preserve">CRA abatement NPV</t>
  </si>
  <si>
    <t xml:space="preserve">Feasibility gap</t>
  </si>
  <si>
    <t xml:space="preserve">Gap % of TDC</t>
  </si>
  <si>
    <t xml:space="preserve">Needs LIHTC?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</si>
</sst>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\$#,##0"/>
    <numFmt numFmtId="167" formatCode="0%"/>
    <numFmt numFmtId="168" formatCode="0.0%"/>
    <numFmt numFmtId="169" formatCode="\$#,##0;&quot;($&quot;#,##0\);\-"/>
    <numFmt numFmtId="170" formatCode="@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D6E4F0"/>
        <bgColor rgb="FFE8E8E8"/>
      </patternFill>
    </fill>
    <fill>
      <patternFill patternType="solid">
        <fgColor rgb="FFD9EAD3"/>
        <bgColor rgb="FFD6E4F0"/>
      </patternFill>
    </fill>
    <fill>
      <patternFill patternType="solid">
        <fgColor rgb="FFFCE5CD"/>
        <bgColor rgb="FFFFF2CC"/>
      </patternFill>
    </fill>
    <fill>
      <patternFill patternType="solid">
        <fgColor rgb="FFE8E8E8"/>
        <bgColor rgb="FFF2F2F2"/>
      </patternFill>
    </fill>
    <fill>
      <patternFill patternType="solid">
        <fgColor rgb="FFFFF2CC"/>
        <bgColor rgb="FFFCE5CD"/>
      </patternFill>
    </fill>
    <fill>
      <patternFill patternType="solid">
        <fgColor rgb="FFF2F2F2"/>
        <bgColor rgb="FFE8E8E8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F9000"/>
      <rgbColor rgb="FF800080"/>
      <rgbColor rgb="FF008080"/>
      <rgbColor rgb="FFCCCCCC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8E8"/>
      <rgbColor rgb="FFD9EAD3"/>
      <rgbColor rgb="FFFFFF99"/>
      <rgbColor rgb="FF99CCFF"/>
      <rgbColor rgb="FFFF99CC"/>
      <rgbColor rgb="FFCC99FF"/>
      <rgbColor rgb="FFFCE5CD"/>
      <rgbColor rgb="FF4472C4"/>
      <rgbColor rgb="FF33CCCC"/>
      <rgbColor rgb="FF99CC00"/>
      <rgbColor rgb="FFFFCC00"/>
      <rgbColor rgb="FFE69138"/>
      <rgbColor rgb="FFFF6600"/>
      <rgbColor rgb="FF666699"/>
      <rgbColor rgb="FF969696"/>
      <rgbColor rgb="FF003366"/>
      <rgbColor rgb="FF6AA84F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E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6"/>
    <col collapsed="false" customWidth="true" hidden="false" outlineLevel="0" max="4" min="4" style="0" width="18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customFormat="false" ht="15" hidden="false" customHeight="false" outlineLevel="0" collapsed="false">
      <c r="A2" s="2" t="s">
        <v>4</v>
      </c>
      <c r="B2" s="2"/>
      <c r="C2" s="2"/>
      <c r="D2" s="2"/>
      <c r="E2" s="2"/>
    </row>
    <row r="3" customFormat="false" ht="15" hidden="false" customHeight="false" outlineLevel="0" collapsed="false">
      <c r="A3" s="3" t="s">
        <v>5</v>
      </c>
      <c r="B3" s="3" t="n">
        <v>4</v>
      </c>
      <c r="C3" s="3" t="n">
        <v>6</v>
      </c>
      <c r="D3" s="3" t="n">
        <v>6</v>
      </c>
      <c r="E3" s="3" t="n">
        <v>6</v>
      </c>
    </row>
    <row r="4" customFormat="false" ht="15" hidden="false" customHeight="false" outlineLevel="0" collapsed="false">
      <c r="A4" s="3" t="s">
        <v>6</v>
      </c>
      <c r="B4" s="4" t="n">
        <v>15700</v>
      </c>
      <c r="C4" s="4" t="n">
        <v>15700</v>
      </c>
      <c r="D4" s="4" t="n">
        <v>15700</v>
      </c>
      <c r="E4" s="4" t="n">
        <v>15700</v>
      </c>
    </row>
    <row r="5" customFormat="false" ht="15" hidden="false" customHeight="false" outlineLevel="0" collapsed="false">
      <c r="A5" s="3" t="s">
        <v>7</v>
      </c>
      <c r="B5" s="4" t="n">
        <v>62800</v>
      </c>
      <c r="C5" s="4" t="n">
        <v>94200</v>
      </c>
      <c r="D5" s="4" t="n">
        <v>94200</v>
      </c>
      <c r="E5" s="4" t="n">
        <v>94200</v>
      </c>
    </row>
    <row r="6" customFormat="false" ht="15" hidden="false" customHeight="false" outlineLevel="0" collapsed="false">
      <c r="A6" s="3" t="s">
        <v>8</v>
      </c>
      <c r="B6" s="4" t="n">
        <v>2500</v>
      </c>
      <c r="C6" s="4" t="n">
        <v>2500</v>
      </c>
      <c r="D6" s="4" t="n">
        <v>2500</v>
      </c>
      <c r="E6" s="4" t="n">
        <v>2500</v>
      </c>
    </row>
    <row r="7" customFormat="false" ht="15" hidden="false" customHeight="false" outlineLevel="0" collapsed="false">
      <c r="A7" s="3" t="s">
        <v>9</v>
      </c>
      <c r="B7" s="3" t="n">
        <v>45</v>
      </c>
      <c r="C7" s="3" t="n">
        <v>75</v>
      </c>
      <c r="D7" s="3" t="n">
        <v>75</v>
      </c>
      <c r="E7" s="3" t="n">
        <v>75</v>
      </c>
    </row>
    <row r="8" customFormat="false" ht="15" hidden="false" customHeight="false" outlineLevel="0" collapsed="false">
      <c r="A8" s="5" t="s">
        <v>10</v>
      </c>
      <c r="B8" s="5"/>
      <c r="C8" s="5"/>
      <c r="D8" s="5"/>
      <c r="E8" s="5"/>
    </row>
    <row r="9" customFormat="false" ht="15" hidden="false" customHeight="false" outlineLevel="0" collapsed="false">
      <c r="A9" s="3" t="s">
        <v>5</v>
      </c>
      <c r="B9" s="3" t="n">
        <v>2</v>
      </c>
      <c r="C9" s="3" t="n">
        <v>2</v>
      </c>
      <c r="D9" s="3" t="n">
        <v>3</v>
      </c>
      <c r="E9" s="3" t="n">
        <v>4</v>
      </c>
    </row>
    <row r="10" customFormat="false" ht="15" hidden="false" customHeight="false" outlineLevel="0" collapsed="false">
      <c r="A10" s="3" t="s">
        <v>11</v>
      </c>
      <c r="B10" s="3" t="s">
        <v>12</v>
      </c>
      <c r="C10" s="3" t="s">
        <v>12</v>
      </c>
      <c r="D10" s="3" t="s">
        <v>13</v>
      </c>
      <c r="E10" s="3" t="s">
        <v>13</v>
      </c>
    </row>
    <row r="11" customFormat="false" ht="15" hidden="false" customHeight="false" outlineLevel="0" collapsed="false">
      <c r="A11" s="3" t="s">
        <v>6</v>
      </c>
      <c r="B11" s="4" t="n">
        <v>14400</v>
      </c>
      <c r="C11" s="4" t="n">
        <v>14400</v>
      </c>
      <c r="D11" s="4" t="n">
        <v>14400</v>
      </c>
      <c r="E11" s="4" t="n">
        <v>14400</v>
      </c>
    </row>
    <row r="12" customFormat="false" ht="15" hidden="false" customHeight="false" outlineLevel="0" collapsed="false">
      <c r="A12" s="3" t="s">
        <v>7</v>
      </c>
      <c r="B12" s="4" t="n">
        <v>28800</v>
      </c>
      <c r="C12" s="4" t="n">
        <v>28800</v>
      </c>
      <c r="D12" s="4" t="n">
        <v>43200</v>
      </c>
      <c r="E12" s="4" t="n">
        <v>57600</v>
      </c>
    </row>
    <row r="13" customFormat="false" ht="15" hidden="false" customHeight="false" outlineLevel="0" collapsed="false">
      <c r="A13" s="3" t="s">
        <v>9</v>
      </c>
      <c r="B13" s="3" t="n">
        <v>12</v>
      </c>
      <c r="C13" s="3" t="n">
        <v>12</v>
      </c>
      <c r="D13" s="3" t="n">
        <v>32</v>
      </c>
      <c r="E13" s="3" t="n">
        <v>53</v>
      </c>
    </row>
    <row r="14" customFormat="false" ht="15" hidden="false" customHeight="false" outlineLevel="0" collapsed="false">
      <c r="A14" s="6" t="s">
        <v>14</v>
      </c>
      <c r="B14" s="6"/>
      <c r="C14" s="6"/>
      <c r="D14" s="6"/>
      <c r="E14" s="6"/>
    </row>
    <row r="15" customFormat="false" ht="15" hidden="false" customHeight="false" outlineLevel="0" collapsed="false">
      <c r="A15" s="3" t="s">
        <v>5</v>
      </c>
      <c r="B15" s="3" t="s">
        <v>15</v>
      </c>
      <c r="C15" s="3" t="s">
        <v>15</v>
      </c>
      <c r="D15" s="3" t="n">
        <v>3</v>
      </c>
      <c r="E15" s="3" t="n">
        <v>4</v>
      </c>
    </row>
    <row r="16" customFormat="false" ht="15" hidden="false" customHeight="false" outlineLevel="0" collapsed="false">
      <c r="A16" s="3" t="s">
        <v>11</v>
      </c>
      <c r="B16" s="3" t="s">
        <v>16</v>
      </c>
      <c r="C16" s="3" t="s">
        <v>17</v>
      </c>
      <c r="D16" s="3" t="s">
        <v>18</v>
      </c>
      <c r="E16" s="3" t="s">
        <v>18</v>
      </c>
    </row>
    <row r="17" customFormat="false" ht="15" hidden="false" customHeight="false" outlineLevel="0" collapsed="false">
      <c r="A17" s="3" t="s">
        <v>6</v>
      </c>
      <c r="B17" s="3" t="s">
        <v>15</v>
      </c>
      <c r="C17" s="3" t="s">
        <v>15</v>
      </c>
      <c r="D17" s="3" t="n">
        <v>10100</v>
      </c>
      <c r="E17" s="3" t="n">
        <v>10100</v>
      </c>
    </row>
    <row r="18" customFormat="false" ht="15" hidden="false" customHeight="false" outlineLevel="0" collapsed="false">
      <c r="A18" s="3" t="s">
        <v>7</v>
      </c>
      <c r="B18" s="3" t="s">
        <v>15</v>
      </c>
      <c r="C18" s="3" t="s">
        <v>15</v>
      </c>
      <c r="D18" s="3" t="n">
        <v>30300</v>
      </c>
      <c r="E18" s="3" t="n">
        <v>40400</v>
      </c>
    </row>
    <row r="19" customFormat="false" ht="15" hidden="false" customHeight="false" outlineLevel="0" collapsed="false">
      <c r="A19" s="3" t="s">
        <v>19</v>
      </c>
      <c r="B19" s="3" t="s">
        <v>15</v>
      </c>
      <c r="C19" s="3" t="s">
        <v>15</v>
      </c>
      <c r="D19" s="3" t="n">
        <v>1500</v>
      </c>
      <c r="E19" s="3" t="n">
        <v>1500</v>
      </c>
    </row>
    <row r="20" customFormat="false" ht="15" hidden="false" customHeight="false" outlineLevel="0" collapsed="false">
      <c r="A20" s="3" t="s">
        <v>9</v>
      </c>
      <c r="B20" s="3" t="s">
        <v>15</v>
      </c>
      <c r="C20" s="3" t="s">
        <v>15</v>
      </c>
      <c r="D20" s="3" t="n">
        <v>24</v>
      </c>
      <c r="E20" s="3" t="n">
        <v>37</v>
      </c>
    </row>
    <row r="21" customFormat="false" ht="15" hidden="false" customHeight="false" outlineLevel="0" collapsed="false">
      <c r="A21" s="7" t="s">
        <v>20</v>
      </c>
      <c r="B21" s="7"/>
      <c r="C21" s="7"/>
      <c r="D21" s="7"/>
      <c r="E21" s="7"/>
    </row>
    <row r="22" customFormat="false" ht="15" hidden="false" customHeight="false" outlineLevel="0" collapsed="false">
      <c r="A22" s="3" t="s">
        <v>21</v>
      </c>
      <c r="B22" s="3" t="s">
        <v>22</v>
      </c>
      <c r="C22" s="3" t="s">
        <v>22</v>
      </c>
      <c r="D22" s="3" t="s">
        <v>22</v>
      </c>
      <c r="E22" s="3" t="s">
        <v>22</v>
      </c>
    </row>
    <row r="23" customFormat="false" ht="15" hidden="false" customHeight="false" outlineLevel="0" collapsed="false">
      <c r="A23" s="3" t="s">
        <v>23</v>
      </c>
      <c r="B23" s="3"/>
      <c r="C23" s="3"/>
      <c r="D23" s="3"/>
      <c r="E23" s="3"/>
    </row>
    <row r="25" customFormat="false" ht="15" hidden="false" customHeight="false" outlineLevel="0" collapsed="false">
      <c r="A25" s="8" t="s">
        <v>24</v>
      </c>
      <c r="B25" s="8"/>
      <c r="C25" s="8"/>
      <c r="D25" s="8"/>
      <c r="E25" s="8"/>
    </row>
    <row r="26" customFormat="false" ht="15" hidden="false" customHeight="false" outlineLevel="0" collapsed="false">
      <c r="A26" s="9" t="s">
        <v>25</v>
      </c>
      <c r="B26" s="9" t="n">
        <v>57</v>
      </c>
      <c r="C26" s="9" t="n">
        <v>87</v>
      </c>
      <c r="D26" s="9" t="n">
        <v>131</v>
      </c>
      <c r="E26" s="9" t="n">
        <v>165</v>
      </c>
    </row>
    <row r="27" customFormat="false" ht="15" hidden="false" customHeight="false" outlineLevel="0" collapsed="false">
      <c r="A27" s="3" t="s">
        <v>26</v>
      </c>
      <c r="B27" s="4" t="n">
        <v>91600</v>
      </c>
      <c r="C27" s="4" t="n">
        <v>123000</v>
      </c>
      <c r="D27" s="4" t="n">
        <v>167700</v>
      </c>
      <c r="E27" s="4" t="n">
        <v>192200</v>
      </c>
    </row>
    <row r="28" customFormat="false" ht="15" hidden="false" customHeight="false" outlineLevel="0" collapsed="false">
      <c r="A28" s="3" t="s">
        <v>27</v>
      </c>
      <c r="B28" s="4" t="n">
        <v>2500</v>
      </c>
      <c r="C28" s="4" t="n">
        <v>2500</v>
      </c>
      <c r="D28" s="4" t="n">
        <v>4000</v>
      </c>
      <c r="E28" s="4" t="n">
        <v>4000</v>
      </c>
    </row>
    <row r="29" customFormat="false" ht="15" hidden="false" customHeight="false" outlineLevel="0" collapsed="false">
      <c r="A29" s="3" t="s">
        <v>28</v>
      </c>
      <c r="B29" s="3" t="n">
        <v>2</v>
      </c>
      <c r="C29" s="3" t="n">
        <v>2</v>
      </c>
      <c r="D29" s="3" t="n">
        <v>3</v>
      </c>
      <c r="E29" s="3" t="n">
        <v>3</v>
      </c>
    </row>
    <row r="30" customFormat="false" ht="15" hidden="false" customHeight="false" outlineLevel="0" collapsed="false">
      <c r="A30" s="3" t="s">
        <v>29</v>
      </c>
      <c r="B30" s="3" t="n">
        <v>48</v>
      </c>
      <c r="C30" s="3" t="n">
        <v>72</v>
      </c>
      <c r="D30" s="3" t="n">
        <v>72</v>
      </c>
      <c r="E30" s="3" t="n">
        <v>72</v>
      </c>
    </row>
    <row r="31" customFormat="false" ht="15" hidden="false" customHeight="false" outlineLevel="0" collapsed="false">
      <c r="A31" s="3" t="s">
        <v>30</v>
      </c>
      <c r="B31" s="3" t="s">
        <v>31</v>
      </c>
      <c r="C31" s="3" t="s">
        <v>32</v>
      </c>
      <c r="D31" s="3" t="s">
        <v>32</v>
      </c>
      <c r="E31" s="3" t="s">
        <v>32</v>
      </c>
    </row>
    <row r="32" customFormat="false" ht="15" hidden="false" customHeight="false" outlineLevel="0" collapsed="false">
      <c r="A32" s="9" t="s">
        <v>33</v>
      </c>
      <c r="B32" s="10" t="n">
        <v>20000000</v>
      </c>
      <c r="C32" s="10" t="n">
        <v>29000000</v>
      </c>
      <c r="D32" s="10" t="n">
        <v>43000000</v>
      </c>
      <c r="E32" s="10" t="n">
        <v>55000000</v>
      </c>
    </row>
    <row r="33" customFormat="false" ht="15" hidden="false" customHeight="false" outlineLevel="0" collapsed="false">
      <c r="A33" s="3" t="s">
        <v>34</v>
      </c>
      <c r="B33" s="11" t="n">
        <v>0.34</v>
      </c>
      <c r="C33" s="11" t="n">
        <v>0.52</v>
      </c>
      <c r="D33" s="11" t="n">
        <v>0.78</v>
      </c>
      <c r="E33" s="11" t="n">
        <v>0.99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8"/>
    <col collapsed="false" customWidth="true" hidden="false" outlineLevel="0" max="4" min="4" style="0" width="8"/>
    <col collapsed="false" customWidth="true" hidden="false" outlineLevel="0" max="5" min="5" style="0" width="18"/>
    <col collapsed="false" customWidth="true" hidden="false" outlineLevel="0" max="6" min="6" style="0" width="8"/>
  </cols>
  <sheetData>
    <row r="1" customFormat="false" ht="23.85" hidden="false" customHeight="false" outlineLevel="0" collapsed="false">
      <c r="A1" s="1" t="s">
        <v>35</v>
      </c>
      <c r="B1" s="1" t="s">
        <v>36</v>
      </c>
      <c r="C1" s="1" t="s">
        <v>37</v>
      </c>
    </row>
    <row r="2" customFormat="false" ht="15" hidden="false" customHeight="false" outlineLevel="0" collapsed="false">
      <c r="A2" s="3" t="s">
        <v>5</v>
      </c>
      <c r="B2" s="3" t="s">
        <v>38</v>
      </c>
      <c r="C2" s="3" t="s">
        <v>39</v>
      </c>
    </row>
    <row r="3" customFormat="false" ht="15" hidden="false" customHeight="false" outlineLevel="0" collapsed="false">
      <c r="A3" s="3" t="s">
        <v>40</v>
      </c>
      <c r="B3" s="4" t="n">
        <v>15700</v>
      </c>
      <c r="C3" s="4" t="n">
        <v>15700</v>
      </c>
    </row>
    <row r="4" customFormat="false" ht="15" hidden="false" customHeight="false" outlineLevel="0" collapsed="false">
      <c r="A4" s="3" t="s">
        <v>41</v>
      </c>
      <c r="B4" s="4" t="n">
        <v>62800</v>
      </c>
      <c r="C4" s="4" t="n">
        <v>94200</v>
      </c>
    </row>
    <row r="5" customFormat="false" ht="15" hidden="false" customHeight="false" outlineLevel="0" collapsed="false">
      <c r="A5" s="3" t="s">
        <v>42</v>
      </c>
      <c r="B5" s="4" t="n">
        <v>15700</v>
      </c>
      <c r="C5" s="4" t="n">
        <v>15700</v>
      </c>
    </row>
    <row r="6" customFormat="false" ht="15" hidden="false" customHeight="false" outlineLevel="0" collapsed="false">
      <c r="A6" s="3" t="s">
        <v>43</v>
      </c>
      <c r="B6" s="4" t="n">
        <v>2500</v>
      </c>
      <c r="C6" s="4" t="n">
        <v>2500</v>
      </c>
    </row>
    <row r="7" customFormat="false" ht="15" hidden="false" customHeight="false" outlineLevel="0" collapsed="false">
      <c r="A7" s="3" t="s">
        <v>44</v>
      </c>
      <c r="B7" s="4" t="n">
        <v>47100</v>
      </c>
      <c r="C7" s="4" t="n">
        <v>78500</v>
      </c>
    </row>
    <row r="8" customFormat="false" ht="15" hidden="false" customHeight="false" outlineLevel="0" collapsed="false">
      <c r="A8" s="3" t="s">
        <v>45</v>
      </c>
      <c r="B8" s="4" t="n">
        <v>38600</v>
      </c>
      <c r="C8" s="4" t="n">
        <v>64400</v>
      </c>
    </row>
    <row r="9" customFormat="false" ht="15" hidden="false" customHeight="false" outlineLevel="0" collapsed="false">
      <c r="A9" s="3" t="s">
        <v>9</v>
      </c>
      <c r="B9" s="4" t="n">
        <v>45</v>
      </c>
      <c r="C9" s="4" t="n">
        <v>75</v>
      </c>
    </row>
    <row r="10" customFormat="false" ht="15" hidden="false" customHeight="false" outlineLevel="0" collapsed="false">
      <c r="A10" s="3" t="s">
        <v>46</v>
      </c>
      <c r="B10" s="3" t="s">
        <v>47</v>
      </c>
      <c r="C10" s="3" t="s">
        <v>48</v>
      </c>
    </row>
    <row r="11" customFormat="false" ht="15" hidden="false" customHeight="false" outlineLevel="0" collapsed="false">
      <c r="A11" s="3" t="s">
        <v>49</v>
      </c>
      <c r="B11" s="3" t="s">
        <v>50</v>
      </c>
      <c r="C11" s="3" t="s">
        <v>51</v>
      </c>
    </row>
    <row r="12" customFormat="false" ht="15" hidden="false" customHeight="false" outlineLevel="0" collapsed="false">
      <c r="A12" s="3" t="s">
        <v>52</v>
      </c>
      <c r="B12" s="3" t="s">
        <v>53</v>
      </c>
      <c r="C12" s="3" t="s">
        <v>53</v>
      </c>
    </row>
    <row r="14" customFormat="false" ht="15" hidden="false" customHeight="false" outlineLevel="0" collapsed="false">
      <c r="A14" s="2" t="s">
        <v>54</v>
      </c>
      <c r="B14" s="2"/>
      <c r="C14" s="2"/>
    </row>
    <row r="15" customFormat="false" ht="15" hidden="false" customHeight="false" outlineLevel="0" collapsed="false">
      <c r="A15" s="1" t="s">
        <v>55</v>
      </c>
      <c r="B15" s="1" t="s">
        <v>56</v>
      </c>
      <c r="C15" s="1" t="s">
        <v>57</v>
      </c>
      <c r="D15" s="1" t="s">
        <v>58</v>
      </c>
      <c r="E15" s="1" t="s">
        <v>59</v>
      </c>
      <c r="F15" s="1" t="s">
        <v>58</v>
      </c>
    </row>
    <row r="16" customFormat="false" ht="15" hidden="false" customHeight="false" outlineLevel="0" collapsed="false">
      <c r="A16" s="3" t="s">
        <v>60</v>
      </c>
      <c r="B16" s="4" t="n">
        <v>500</v>
      </c>
      <c r="C16" s="3" t="n">
        <v>7</v>
      </c>
      <c r="D16" s="11" t="n">
        <v>0.16</v>
      </c>
      <c r="E16" s="3" t="n">
        <v>12</v>
      </c>
      <c r="F16" s="11" t="n">
        <v>0.16</v>
      </c>
    </row>
    <row r="17" customFormat="false" ht="15" hidden="false" customHeight="false" outlineLevel="0" collapsed="false">
      <c r="A17" s="3" t="s">
        <v>61</v>
      </c>
      <c r="B17" s="4" t="n">
        <v>725</v>
      </c>
      <c r="C17" s="3" t="n">
        <v>18</v>
      </c>
      <c r="D17" s="11" t="n">
        <v>0.4</v>
      </c>
      <c r="E17" s="3" t="n">
        <v>30</v>
      </c>
      <c r="F17" s="11" t="n">
        <v>0.4</v>
      </c>
    </row>
    <row r="18" customFormat="false" ht="15" hidden="false" customHeight="false" outlineLevel="0" collapsed="false">
      <c r="A18" s="3" t="s">
        <v>62</v>
      </c>
      <c r="B18" s="4" t="n">
        <v>1000</v>
      </c>
      <c r="C18" s="3" t="n">
        <v>15</v>
      </c>
      <c r="D18" s="11" t="n">
        <v>0.33</v>
      </c>
      <c r="E18" s="3" t="n">
        <v>25</v>
      </c>
      <c r="F18" s="11" t="n">
        <v>0.33</v>
      </c>
    </row>
    <row r="19" customFormat="false" ht="15" hidden="false" customHeight="false" outlineLevel="0" collapsed="false">
      <c r="A19" s="3" t="s">
        <v>63</v>
      </c>
      <c r="B19" s="4" t="n">
        <v>1200</v>
      </c>
      <c r="C19" s="3" t="n">
        <v>5</v>
      </c>
      <c r="D19" s="11" t="n">
        <v>0.11</v>
      </c>
      <c r="E19" s="3" t="n">
        <v>8</v>
      </c>
      <c r="F19" s="11" t="n">
        <v>0.11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AA84F"/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8" min="8" style="0" width="8"/>
  </cols>
  <sheetData>
    <row r="1" customFormat="false" ht="35.05" hidden="false" customHeight="false" outlineLevel="0" collapsed="false">
      <c r="A1" s="1" t="s">
        <v>64</v>
      </c>
      <c r="B1" s="1" t="s">
        <v>65</v>
      </c>
      <c r="C1" s="1" t="s">
        <v>66</v>
      </c>
      <c r="D1" s="1" t="s">
        <v>67</v>
      </c>
    </row>
    <row r="2" customFormat="false" ht="15" hidden="false" customHeight="false" outlineLevel="0" collapsed="false">
      <c r="A2" s="3" t="s">
        <v>5</v>
      </c>
      <c r="B2" s="3" t="n">
        <v>2</v>
      </c>
      <c r="C2" s="3" t="n">
        <v>3</v>
      </c>
      <c r="D2" s="3" t="n">
        <v>4</v>
      </c>
    </row>
    <row r="3" customFormat="false" ht="15" hidden="false" customHeight="false" outlineLevel="0" collapsed="false">
      <c r="A3" s="3" t="s">
        <v>68</v>
      </c>
      <c r="B3" s="3" t="s">
        <v>69</v>
      </c>
      <c r="C3" s="3" t="s">
        <v>70</v>
      </c>
      <c r="D3" s="3" t="s">
        <v>71</v>
      </c>
    </row>
    <row r="4" customFormat="false" ht="15" hidden="false" customHeight="false" outlineLevel="0" collapsed="false">
      <c r="A4" s="3" t="s">
        <v>6</v>
      </c>
      <c r="B4" s="4" t="n">
        <v>14400</v>
      </c>
      <c r="C4" s="4" t="n">
        <v>14400</v>
      </c>
      <c r="D4" s="4" t="n">
        <v>14400</v>
      </c>
    </row>
    <row r="5" customFormat="false" ht="15" hidden="false" customHeight="false" outlineLevel="0" collapsed="false">
      <c r="A5" s="3" t="s">
        <v>41</v>
      </c>
      <c r="B5" s="4" t="n">
        <v>28800</v>
      </c>
      <c r="C5" s="4" t="n">
        <v>43200</v>
      </c>
      <c r="D5" s="4" t="n">
        <v>57600</v>
      </c>
    </row>
    <row r="6" customFormat="false" ht="15" hidden="false" customHeight="false" outlineLevel="0" collapsed="false">
      <c r="A6" s="3" t="s">
        <v>45</v>
      </c>
      <c r="B6" s="4" t="n">
        <v>25900</v>
      </c>
      <c r="C6" s="4" t="n">
        <v>35400</v>
      </c>
      <c r="D6" s="4" t="n">
        <v>47200</v>
      </c>
    </row>
    <row r="7" customFormat="false" ht="15" hidden="false" customHeight="false" outlineLevel="0" collapsed="false">
      <c r="A7" s="3" t="s">
        <v>9</v>
      </c>
      <c r="B7" s="4" t="n">
        <v>12</v>
      </c>
      <c r="C7" s="4" t="n">
        <v>32</v>
      </c>
      <c r="D7" s="4" t="n">
        <v>53</v>
      </c>
    </row>
    <row r="8" customFormat="false" ht="15" hidden="false" customHeight="false" outlineLevel="0" collapsed="false">
      <c r="A8" s="3" t="s">
        <v>30</v>
      </c>
      <c r="B8" s="3" t="s">
        <v>72</v>
      </c>
      <c r="C8" s="3" t="s">
        <v>72</v>
      </c>
      <c r="D8" s="3" t="s">
        <v>72</v>
      </c>
    </row>
    <row r="9" customFormat="false" ht="15" hidden="false" customHeight="false" outlineLevel="0" collapsed="false">
      <c r="A9" s="3" t="s">
        <v>49</v>
      </c>
      <c r="B9" s="3" t="s">
        <v>73</v>
      </c>
      <c r="C9" s="3" t="s">
        <v>74</v>
      </c>
      <c r="D9" s="3" t="s">
        <v>75</v>
      </c>
    </row>
    <row r="11" customFormat="false" ht="15" hidden="false" customHeight="false" outlineLevel="0" collapsed="false">
      <c r="A11" s="5" t="s">
        <v>54</v>
      </c>
      <c r="B11" s="5"/>
      <c r="C11" s="5"/>
      <c r="D11" s="5"/>
    </row>
    <row r="12" customFormat="false" ht="15" hidden="false" customHeight="false" outlineLevel="0" collapsed="false">
      <c r="A12" s="1" t="s">
        <v>55</v>
      </c>
      <c r="B12" s="1" t="s">
        <v>56</v>
      </c>
      <c r="C12" s="1" t="s">
        <v>76</v>
      </c>
      <c r="D12" s="1" t="s">
        <v>58</v>
      </c>
      <c r="E12" s="1" t="s">
        <v>77</v>
      </c>
      <c r="F12" s="1" t="s">
        <v>58</v>
      </c>
      <c r="G12" s="1" t="s">
        <v>78</v>
      </c>
      <c r="H12" s="1" t="s">
        <v>58</v>
      </c>
    </row>
    <row r="13" customFormat="false" ht="15" hidden="false" customHeight="false" outlineLevel="0" collapsed="false">
      <c r="A13" s="3" t="s">
        <v>60</v>
      </c>
      <c r="B13" s="4" t="n">
        <v>500</v>
      </c>
      <c r="C13" s="3" t="s">
        <v>15</v>
      </c>
      <c r="D13" s="3" t="s">
        <v>15</v>
      </c>
      <c r="E13" s="3" t="s">
        <v>15</v>
      </c>
      <c r="F13" s="3" t="s">
        <v>15</v>
      </c>
      <c r="G13" s="3" t="s">
        <v>15</v>
      </c>
      <c r="H13" s="3" t="s">
        <v>15</v>
      </c>
    </row>
    <row r="14" customFormat="false" ht="15" hidden="false" customHeight="false" outlineLevel="0" collapsed="false">
      <c r="A14" s="3" t="s">
        <v>61</v>
      </c>
      <c r="B14" s="4" t="n">
        <v>725</v>
      </c>
      <c r="C14" s="3" t="s">
        <v>15</v>
      </c>
      <c r="D14" s="3" t="s">
        <v>15</v>
      </c>
      <c r="E14" s="3" t="n">
        <v>8</v>
      </c>
      <c r="F14" s="11" t="n">
        <v>0.25</v>
      </c>
      <c r="G14" s="3" t="n">
        <v>13</v>
      </c>
      <c r="H14" s="11" t="n">
        <v>0.25</v>
      </c>
    </row>
    <row r="15" customFormat="false" ht="15" hidden="false" customHeight="false" outlineLevel="0" collapsed="false">
      <c r="A15" s="3" t="s">
        <v>62</v>
      </c>
      <c r="B15" s="4" t="n">
        <v>1000</v>
      </c>
      <c r="C15" s="3" t="n">
        <v>4</v>
      </c>
      <c r="D15" s="11" t="n">
        <v>0.33</v>
      </c>
      <c r="E15" s="3" t="n">
        <v>14</v>
      </c>
      <c r="F15" s="11" t="n">
        <v>0.44</v>
      </c>
      <c r="G15" s="3" t="n">
        <v>23</v>
      </c>
      <c r="H15" s="11" t="n">
        <v>0.43</v>
      </c>
    </row>
    <row r="16" customFormat="false" ht="15" hidden="false" customHeight="false" outlineLevel="0" collapsed="false">
      <c r="A16" s="3" t="s">
        <v>79</v>
      </c>
      <c r="B16" s="4" t="n">
        <v>1200</v>
      </c>
      <c r="C16" s="3" t="n">
        <v>4</v>
      </c>
      <c r="D16" s="11" t="n">
        <v>0.33</v>
      </c>
      <c r="E16" s="3" t="s">
        <v>15</v>
      </c>
      <c r="F16" s="3" t="s">
        <v>15</v>
      </c>
      <c r="G16" s="3" t="s">
        <v>15</v>
      </c>
      <c r="H16" s="3" t="s">
        <v>15</v>
      </c>
    </row>
    <row r="17" customFormat="false" ht="15" hidden="false" customHeight="false" outlineLevel="0" collapsed="false">
      <c r="A17" s="3" t="s">
        <v>63</v>
      </c>
      <c r="B17" s="4" t="n">
        <v>1400</v>
      </c>
      <c r="C17" s="3" t="n">
        <v>4</v>
      </c>
      <c r="D17" s="11" t="n">
        <v>0.33</v>
      </c>
      <c r="E17" s="3" t="n">
        <v>10</v>
      </c>
      <c r="F17" s="11" t="n">
        <v>0.31</v>
      </c>
      <c r="G17" s="3" t="n">
        <v>17</v>
      </c>
      <c r="H17" s="11" t="n">
        <v>0.32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9138"/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8"/>
  </cols>
  <sheetData>
    <row r="1" customFormat="false" ht="35.05" hidden="false" customHeight="false" outlineLevel="0" collapsed="false">
      <c r="A1" s="1" t="s">
        <v>80</v>
      </c>
      <c r="B1" s="1" t="s">
        <v>81</v>
      </c>
      <c r="C1" s="1" t="s">
        <v>82</v>
      </c>
    </row>
    <row r="2" customFormat="false" ht="15" hidden="false" customHeight="false" outlineLevel="0" collapsed="false">
      <c r="A2" s="3" t="s">
        <v>5</v>
      </c>
      <c r="B2" s="3" t="s">
        <v>83</v>
      </c>
      <c r="C2" s="3" t="s">
        <v>84</v>
      </c>
    </row>
    <row r="3" customFormat="false" ht="15" hidden="false" customHeight="false" outlineLevel="0" collapsed="false">
      <c r="A3" s="3" t="s">
        <v>68</v>
      </c>
      <c r="B3" s="3" t="s">
        <v>85</v>
      </c>
      <c r="C3" s="3" t="s">
        <v>85</v>
      </c>
    </row>
    <row r="4" customFormat="false" ht="15" hidden="false" customHeight="false" outlineLevel="0" collapsed="false">
      <c r="A4" s="3" t="s">
        <v>6</v>
      </c>
      <c r="B4" s="4" t="n">
        <v>10100</v>
      </c>
      <c r="C4" s="4" t="n">
        <v>10100</v>
      </c>
    </row>
    <row r="5" customFormat="false" ht="15" hidden="false" customHeight="false" outlineLevel="0" collapsed="false">
      <c r="A5" s="3" t="s">
        <v>41</v>
      </c>
      <c r="B5" s="4" t="n">
        <v>30300</v>
      </c>
      <c r="C5" s="4" t="n">
        <v>40400</v>
      </c>
    </row>
    <row r="6" customFormat="false" ht="15" hidden="false" customHeight="false" outlineLevel="0" collapsed="false">
      <c r="A6" s="3" t="s">
        <v>19</v>
      </c>
      <c r="B6" s="4" t="n">
        <v>1500</v>
      </c>
      <c r="C6" s="4" t="n">
        <v>1500</v>
      </c>
    </row>
    <row r="7" customFormat="false" ht="15" hidden="false" customHeight="false" outlineLevel="0" collapsed="false">
      <c r="A7" s="3" t="s">
        <v>44</v>
      </c>
      <c r="B7" s="4" t="n">
        <v>20200</v>
      </c>
      <c r="C7" s="4" t="n">
        <v>30300</v>
      </c>
    </row>
    <row r="8" customFormat="false" ht="15" hidden="false" customHeight="false" outlineLevel="0" collapsed="false">
      <c r="A8" s="3" t="s">
        <v>45</v>
      </c>
      <c r="B8" s="4" t="n">
        <v>16600</v>
      </c>
      <c r="C8" s="4" t="n">
        <v>24800</v>
      </c>
    </row>
    <row r="9" customFormat="false" ht="15" hidden="false" customHeight="false" outlineLevel="0" collapsed="false">
      <c r="A9" s="3" t="s">
        <v>9</v>
      </c>
      <c r="B9" s="4" t="n">
        <v>24</v>
      </c>
      <c r="C9" s="4" t="n">
        <v>37</v>
      </c>
    </row>
    <row r="10" customFormat="false" ht="15" hidden="false" customHeight="false" outlineLevel="0" collapsed="false">
      <c r="A10" s="3" t="s">
        <v>30</v>
      </c>
      <c r="B10" s="3" t="s">
        <v>72</v>
      </c>
      <c r="C10" s="3" t="s">
        <v>72</v>
      </c>
    </row>
    <row r="11" customFormat="false" ht="15" hidden="false" customHeight="false" outlineLevel="0" collapsed="false">
      <c r="A11" s="3" t="s">
        <v>49</v>
      </c>
      <c r="B11" s="3" t="s">
        <v>74</v>
      </c>
      <c r="C11" s="3" t="s">
        <v>75</v>
      </c>
    </row>
    <row r="13" customFormat="false" ht="15" hidden="false" customHeight="false" outlineLevel="0" collapsed="false">
      <c r="A13" s="6" t="s">
        <v>54</v>
      </c>
      <c r="B13" s="6"/>
      <c r="C13" s="6"/>
    </row>
    <row r="14" customFormat="false" ht="15" hidden="false" customHeight="false" outlineLevel="0" collapsed="false">
      <c r="A14" s="1" t="s">
        <v>55</v>
      </c>
      <c r="B14" s="1" t="s">
        <v>56</v>
      </c>
      <c r="C14" s="1" t="s">
        <v>86</v>
      </c>
      <c r="D14" s="1" t="s">
        <v>58</v>
      </c>
      <c r="E14" s="1" t="s">
        <v>87</v>
      </c>
      <c r="F14" s="1" t="s">
        <v>58</v>
      </c>
    </row>
    <row r="15" customFormat="false" ht="15" hidden="false" customHeight="false" outlineLevel="0" collapsed="false">
      <c r="A15" s="3" t="s">
        <v>60</v>
      </c>
      <c r="B15" s="4" t="n">
        <v>500</v>
      </c>
      <c r="C15" s="3" t="n">
        <v>4</v>
      </c>
      <c r="D15" s="11" t="n">
        <v>0.17</v>
      </c>
      <c r="E15" s="3" t="n">
        <v>6</v>
      </c>
      <c r="F15" s="11" t="n">
        <v>0.16</v>
      </c>
    </row>
    <row r="16" customFormat="false" ht="15" hidden="false" customHeight="false" outlineLevel="0" collapsed="false">
      <c r="A16" s="3" t="s">
        <v>61</v>
      </c>
      <c r="B16" s="4" t="n">
        <v>725</v>
      </c>
      <c r="C16" s="3" t="n">
        <v>10</v>
      </c>
      <c r="D16" s="11" t="n">
        <v>0.42</v>
      </c>
      <c r="E16" s="3" t="n">
        <v>15</v>
      </c>
      <c r="F16" s="11" t="n">
        <v>0.41</v>
      </c>
    </row>
    <row r="17" customFormat="false" ht="15" hidden="false" customHeight="false" outlineLevel="0" collapsed="false">
      <c r="A17" s="3" t="s">
        <v>62</v>
      </c>
      <c r="B17" s="4" t="n">
        <v>1000</v>
      </c>
      <c r="C17" s="3" t="n">
        <v>8</v>
      </c>
      <c r="D17" s="11" t="n">
        <v>0.33</v>
      </c>
      <c r="E17" s="3" t="n">
        <v>12</v>
      </c>
      <c r="F17" s="11" t="n">
        <v>0.32</v>
      </c>
    </row>
    <row r="18" customFormat="false" ht="15" hidden="false" customHeight="false" outlineLevel="0" collapsed="false">
      <c r="A18" s="3" t="s">
        <v>63</v>
      </c>
      <c r="B18" s="4" t="n">
        <v>1200</v>
      </c>
      <c r="C18" s="3" t="n">
        <v>2</v>
      </c>
      <c r="D18" s="11" t="n">
        <v>0.08</v>
      </c>
      <c r="E18" s="3" t="n">
        <v>4</v>
      </c>
      <c r="F18" s="11" t="n">
        <v>0.11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9000"/>
    <pageSetUpPr fitToPage="false"/>
  </sheetPr>
  <dimension ref="A1:E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6"/>
    <col collapsed="false" customWidth="true" hidden="false" outlineLevel="0" max="4" min="4" style="0" width="18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customFormat="false" ht="15" hidden="false" customHeight="false" outlineLevel="0" collapsed="false">
      <c r="A2" s="12" t="s">
        <v>88</v>
      </c>
      <c r="B2" s="12"/>
      <c r="C2" s="12"/>
      <c r="D2" s="12"/>
      <c r="E2" s="12"/>
    </row>
    <row r="3" customFormat="false" ht="15" hidden="false" customHeight="false" outlineLevel="0" collapsed="false">
      <c r="A3" s="3" t="s">
        <v>89</v>
      </c>
      <c r="B3" s="13" t="n">
        <v>1050</v>
      </c>
      <c r="C3" s="13" t="n">
        <v>1050</v>
      </c>
      <c r="D3" s="13" t="n">
        <v>1050</v>
      </c>
      <c r="E3" s="13" t="n">
        <v>1050</v>
      </c>
    </row>
    <row r="4" customFormat="false" ht="15" hidden="false" customHeight="false" outlineLevel="0" collapsed="false">
      <c r="A4" s="3" t="s">
        <v>90</v>
      </c>
      <c r="B4" s="13" t="n">
        <v>1300</v>
      </c>
      <c r="C4" s="13" t="n">
        <v>1300</v>
      </c>
      <c r="D4" s="13" t="n">
        <v>1300</v>
      </c>
      <c r="E4" s="13" t="n">
        <v>1300</v>
      </c>
    </row>
    <row r="5" customFormat="false" ht="15" hidden="false" customHeight="false" outlineLevel="0" collapsed="false">
      <c r="A5" s="3" t="s">
        <v>91</v>
      </c>
      <c r="B5" s="13" t="n">
        <v>1600</v>
      </c>
      <c r="C5" s="13" t="n">
        <v>1600</v>
      </c>
      <c r="D5" s="13" t="n">
        <v>1600</v>
      </c>
      <c r="E5" s="13" t="n">
        <v>1600</v>
      </c>
    </row>
    <row r="6" customFormat="false" ht="15" hidden="false" customHeight="false" outlineLevel="0" collapsed="false">
      <c r="A6" s="3" t="s">
        <v>92</v>
      </c>
      <c r="B6" s="13" t="n">
        <v>1900</v>
      </c>
      <c r="C6" s="13" t="n">
        <v>1900</v>
      </c>
      <c r="D6" s="13" t="n">
        <v>1900</v>
      </c>
      <c r="E6" s="13" t="n">
        <v>1900</v>
      </c>
    </row>
    <row r="7" customFormat="false" ht="15" hidden="false" customHeight="false" outlineLevel="0" collapsed="false">
      <c r="A7" s="3" t="s">
        <v>93</v>
      </c>
      <c r="B7" s="14" t="n">
        <v>0.05</v>
      </c>
      <c r="C7" s="14" t="n">
        <v>0.05</v>
      </c>
      <c r="D7" s="14" t="n">
        <v>0.05</v>
      </c>
      <c r="E7" s="14" t="n">
        <v>0.05</v>
      </c>
    </row>
    <row r="8" customFormat="false" ht="15" hidden="false" customHeight="false" outlineLevel="0" collapsed="false">
      <c r="A8" s="3" t="s">
        <v>94</v>
      </c>
      <c r="B8" s="3" t="n">
        <v>14</v>
      </c>
      <c r="C8" s="3" t="n">
        <v>14</v>
      </c>
      <c r="D8" s="3" t="n">
        <v>14</v>
      </c>
      <c r="E8" s="3" t="n">
        <v>14</v>
      </c>
    </row>
    <row r="9" customFormat="false" ht="15" hidden="false" customHeight="false" outlineLevel="0" collapsed="false">
      <c r="A9" s="3" t="s">
        <v>95</v>
      </c>
      <c r="B9" s="14" t="n">
        <v>0.15</v>
      </c>
      <c r="C9" s="14" t="n">
        <v>0.15</v>
      </c>
      <c r="D9" s="14" t="n">
        <v>0.15</v>
      </c>
      <c r="E9" s="14" t="n">
        <v>0.15</v>
      </c>
    </row>
    <row r="10" customFormat="false" ht="15" hidden="false" customHeight="false" outlineLevel="0" collapsed="false">
      <c r="A10" s="3" t="s">
        <v>96</v>
      </c>
      <c r="B10" s="13" t="n">
        <v>6000</v>
      </c>
      <c r="C10" s="13" t="n">
        <v>6000</v>
      </c>
      <c r="D10" s="13" t="n">
        <v>6000</v>
      </c>
      <c r="E10" s="13" t="n">
        <v>6000</v>
      </c>
    </row>
    <row r="11" customFormat="false" ht="15" hidden="false" customHeight="false" outlineLevel="0" collapsed="false">
      <c r="A11" s="3" t="s">
        <v>97</v>
      </c>
      <c r="B11" s="13" t="n">
        <v>4</v>
      </c>
      <c r="C11" s="13" t="n">
        <v>4</v>
      </c>
      <c r="D11" s="13" t="n">
        <v>4</v>
      </c>
      <c r="E11" s="13" t="n">
        <v>4</v>
      </c>
    </row>
    <row r="12" customFormat="false" ht="15" hidden="false" customHeight="false" outlineLevel="0" collapsed="false">
      <c r="A12" s="3" t="s">
        <v>98</v>
      </c>
      <c r="B12" s="14" t="n">
        <v>0.055</v>
      </c>
      <c r="C12" s="14" t="n">
        <v>0.055</v>
      </c>
      <c r="D12" s="14" t="n">
        <v>0.055</v>
      </c>
      <c r="E12" s="14" t="n">
        <v>0.055</v>
      </c>
    </row>
    <row r="13" customFormat="false" ht="15" hidden="false" customHeight="false" outlineLevel="0" collapsed="false">
      <c r="A13" s="3" t="s">
        <v>99</v>
      </c>
      <c r="B13" s="13" t="n">
        <v>3000</v>
      </c>
      <c r="C13" s="13" t="n">
        <v>3000</v>
      </c>
      <c r="D13" s="13" t="n">
        <v>3000</v>
      </c>
      <c r="E13" s="13" t="n">
        <v>3000</v>
      </c>
    </row>
    <row r="15" customFormat="false" ht="15" hidden="false" customHeight="false" outlineLevel="0" collapsed="false">
      <c r="A15" s="12" t="s">
        <v>100</v>
      </c>
      <c r="B15" s="12"/>
      <c r="C15" s="12"/>
      <c r="D15" s="12"/>
      <c r="E15" s="12"/>
    </row>
    <row r="16" customFormat="false" ht="15" hidden="false" customHeight="false" outlineLevel="0" collapsed="false">
      <c r="A16" s="3" t="s">
        <v>25</v>
      </c>
      <c r="B16" s="3" t="n">
        <v>57</v>
      </c>
      <c r="C16" s="3" t="n">
        <v>87</v>
      </c>
      <c r="D16" s="3" t="n">
        <v>131</v>
      </c>
      <c r="E16" s="3" t="n">
        <v>165</v>
      </c>
    </row>
    <row r="17" customFormat="false" ht="15" hidden="false" customHeight="false" outlineLevel="0" collapsed="false">
      <c r="A17" s="3" t="s">
        <v>101</v>
      </c>
      <c r="B17" s="3" t="n">
        <v>7</v>
      </c>
      <c r="C17" s="3" t="n">
        <v>7</v>
      </c>
      <c r="D17" s="3" t="n">
        <v>11</v>
      </c>
      <c r="E17" s="3" t="n">
        <v>18</v>
      </c>
    </row>
    <row r="18" customFormat="false" ht="15" hidden="false" customHeight="false" outlineLevel="0" collapsed="false">
      <c r="A18" s="3" t="s">
        <v>61</v>
      </c>
      <c r="B18" s="3" t="n">
        <v>18</v>
      </c>
      <c r="C18" s="3" t="n">
        <v>18</v>
      </c>
      <c r="D18" s="3" t="n">
        <v>36</v>
      </c>
      <c r="E18" s="3" t="n">
        <v>58</v>
      </c>
    </row>
    <row r="19" customFormat="false" ht="15" hidden="false" customHeight="false" outlineLevel="0" collapsed="false">
      <c r="A19" s="3" t="s">
        <v>62</v>
      </c>
      <c r="B19" s="3" t="n">
        <v>23</v>
      </c>
      <c r="C19" s="3" t="n">
        <v>23</v>
      </c>
      <c r="D19" s="3" t="n">
        <v>41</v>
      </c>
      <c r="E19" s="3" t="n">
        <v>60</v>
      </c>
    </row>
    <row r="20" customFormat="false" ht="15" hidden="false" customHeight="false" outlineLevel="0" collapsed="false">
      <c r="A20" s="3" t="s">
        <v>63</v>
      </c>
      <c r="B20" s="3" t="n">
        <v>9</v>
      </c>
      <c r="C20" s="3" t="n">
        <v>9</v>
      </c>
      <c r="D20" s="3" t="n">
        <v>17</v>
      </c>
      <c r="E20" s="3" t="n">
        <v>29</v>
      </c>
    </row>
    <row r="21" customFormat="false" ht="15" hidden="false" customHeight="false" outlineLevel="0" collapsed="false">
      <c r="A21" s="3" t="s">
        <v>79</v>
      </c>
      <c r="B21" s="3" t="n">
        <v>0</v>
      </c>
      <c r="C21" s="3" t="n">
        <v>4</v>
      </c>
      <c r="D21" s="3" t="n">
        <v>4</v>
      </c>
      <c r="E21" s="3" t="n">
        <v>0</v>
      </c>
    </row>
    <row r="22" customFormat="false" ht="15" hidden="false" customHeight="false" outlineLevel="0" collapsed="false">
      <c r="A22" s="3" t="s">
        <v>102</v>
      </c>
      <c r="B22" s="3" t="n">
        <v>0</v>
      </c>
      <c r="C22" s="3" t="n">
        <v>4</v>
      </c>
      <c r="D22" s="3" t="n">
        <v>4</v>
      </c>
      <c r="E22" s="3" t="n">
        <v>0</v>
      </c>
    </row>
    <row r="23" customFormat="false" ht="15" hidden="false" customHeight="false" outlineLevel="0" collapsed="false">
      <c r="A23" s="3" t="s">
        <v>8</v>
      </c>
      <c r="B23" s="4" t="n">
        <v>2500</v>
      </c>
      <c r="C23" s="4" t="n">
        <v>2500</v>
      </c>
      <c r="D23" s="4" t="n">
        <v>4000</v>
      </c>
      <c r="E23" s="4" t="n">
        <v>4000</v>
      </c>
    </row>
    <row r="24" customFormat="false" ht="15" hidden="false" customHeight="false" outlineLevel="0" collapsed="false">
      <c r="A24" s="3" t="s">
        <v>33</v>
      </c>
      <c r="B24" s="13" t="n">
        <v>20000000</v>
      </c>
      <c r="C24" s="13" t="n">
        <v>29000000</v>
      </c>
      <c r="D24" s="13" t="n">
        <v>43000000</v>
      </c>
      <c r="E24" s="13" t="n">
        <v>55000000</v>
      </c>
    </row>
    <row r="26" customFormat="false" ht="15" hidden="false" customHeight="false" outlineLevel="0" collapsed="false">
      <c r="A26" s="8" t="s">
        <v>103</v>
      </c>
      <c r="B26" s="8"/>
      <c r="C26" s="8"/>
      <c r="D26" s="8"/>
      <c r="E26" s="8"/>
    </row>
    <row r="27" customFormat="false" ht="15" hidden="false" customHeight="false" outlineLevel="0" collapsed="false">
      <c r="A27" s="3" t="s">
        <v>104</v>
      </c>
      <c r="B27" s="13" t="n">
        <f aca="false">B17*B3*12</f>
        <v>88200</v>
      </c>
      <c r="C27" s="13" t="n">
        <f aca="false">C17*C3*12</f>
        <v>88200</v>
      </c>
      <c r="D27" s="13" t="n">
        <f aca="false">D17*D3*12</f>
        <v>138600</v>
      </c>
      <c r="E27" s="13" t="n">
        <f aca="false">E17*E3*12</f>
        <v>226800</v>
      </c>
    </row>
    <row r="28" customFormat="false" ht="15" hidden="false" customHeight="false" outlineLevel="0" collapsed="false">
      <c r="A28" s="3" t="s">
        <v>105</v>
      </c>
      <c r="B28" s="13" t="n">
        <f aca="false">B18*B4*12</f>
        <v>280800</v>
      </c>
      <c r="C28" s="13" t="n">
        <f aca="false">C18*C4*12</f>
        <v>280800</v>
      </c>
      <c r="D28" s="13" t="n">
        <f aca="false">D18*D4*12</f>
        <v>561600</v>
      </c>
      <c r="E28" s="13" t="n">
        <f aca="false">E18*E4*12</f>
        <v>904800</v>
      </c>
    </row>
    <row r="29" customFormat="false" ht="15" hidden="false" customHeight="false" outlineLevel="0" collapsed="false">
      <c r="A29" s="3" t="s">
        <v>106</v>
      </c>
      <c r="B29" s="13" t="n">
        <f aca="false">(B19+B21)*B5*12</f>
        <v>441600</v>
      </c>
      <c r="C29" s="13" t="n">
        <f aca="false">(C19+C21)*C5*12</f>
        <v>518400</v>
      </c>
      <c r="D29" s="13" t="n">
        <f aca="false">(D19+D21)*D5*12</f>
        <v>864000</v>
      </c>
      <c r="E29" s="13" t="n">
        <f aca="false">(E19+E21)*E5*12</f>
        <v>1152000</v>
      </c>
    </row>
    <row r="30" customFormat="false" ht="15" hidden="false" customHeight="false" outlineLevel="0" collapsed="false">
      <c r="A30" s="3" t="s">
        <v>107</v>
      </c>
      <c r="B30" s="13" t="n">
        <f aca="false">(B20+B22)*B6*12</f>
        <v>205200</v>
      </c>
      <c r="C30" s="13" t="n">
        <f aca="false">(C20+C22)*C6*12</f>
        <v>296400</v>
      </c>
      <c r="D30" s="13" t="n">
        <f aca="false">(D20+D22)*D6*12</f>
        <v>478800</v>
      </c>
      <c r="E30" s="13" t="n">
        <f aca="false">(E20+E22)*E6*12</f>
        <v>661200</v>
      </c>
    </row>
    <row r="31" customFormat="false" ht="15" hidden="false" customHeight="false" outlineLevel="0" collapsed="false">
      <c r="A31" s="3" t="s">
        <v>108</v>
      </c>
      <c r="B31" s="13" t="n">
        <f aca="false">SUM(B27:B30)</f>
        <v>1015800</v>
      </c>
      <c r="C31" s="13" t="n">
        <f aca="false">SUM(C27:C30)</f>
        <v>1183800</v>
      </c>
      <c r="D31" s="13" t="n">
        <f aca="false">SUM(D27:D30)</f>
        <v>2043000</v>
      </c>
      <c r="E31" s="13" t="n">
        <f aca="false">SUM(E27:E30)</f>
        <v>2944800</v>
      </c>
    </row>
    <row r="32" customFormat="false" ht="15" hidden="false" customHeight="false" outlineLevel="0" collapsed="false">
      <c r="A32" s="3" t="s">
        <v>93</v>
      </c>
      <c r="B32" s="15" t="n">
        <f aca="false">-B31*B7</f>
        <v>-50790</v>
      </c>
      <c r="C32" s="15" t="n">
        <f aca="false">-C31*C7</f>
        <v>-59190</v>
      </c>
      <c r="D32" s="15" t="n">
        <f aca="false">-D31*D7</f>
        <v>-102150</v>
      </c>
      <c r="E32" s="15" t="n">
        <f aca="false">-E31*E7</f>
        <v>-147240</v>
      </c>
    </row>
    <row r="33" customFormat="false" ht="15" hidden="false" customHeight="false" outlineLevel="0" collapsed="false">
      <c r="A33" s="3" t="s">
        <v>109</v>
      </c>
      <c r="B33" s="13" t="n">
        <f aca="false">B31+B32</f>
        <v>965010</v>
      </c>
      <c r="C33" s="13" t="n">
        <f aca="false">C31+C32</f>
        <v>1124610</v>
      </c>
      <c r="D33" s="13" t="n">
        <f aca="false">D31+D32</f>
        <v>1940850</v>
      </c>
      <c r="E33" s="13" t="n">
        <f aca="false">E31+E32</f>
        <v>2797560</v>
      </c>
    </row>
    <row r="34" customFormat="false" ht="15" hidden="false" customHeight="false" outlineLevel="0" collapsed="false">
      <c r="A34" s="3" t="s">
        <v>110</v>
      </c>
      <c r="B34" s="13" t="n">
        <f aca="false">B23*B8</f>
        <v>35000</v>
      </c>
      <c r="C34" s="13" t="n">
        <f aca="false">C23*C8</f>
        <v>35000</v>
      </c>
      <c r="D34" s="13" t="n">
        <f aca="false">D23*D8</f>
        <v>56000</v>
      </c>
      <c r="E34" s="13" t="n">
        <f aca="false">E23*E8</f>
        <v>56000</v>
      </c>
    </row>
    <row r="35" customFormat="false" ht="15" hidden="false" customHeight="false" outlineLevel="0" collapsed="false">
      <c r="A35" s="3" t="s">
        <v>95</v>
      </c>
      <c r="B35" s="15" t="n">
        <f aca="false">-B34*B9</f>
        <v>-5250</v>
      </c>
      <c r="C35" s="15" t="n">
        <f aca="false">-C34*C9</f>
        <v>-5250</v>
      </c>
      <c r="D35" s="15" t="n">
        <f aca="false">-D34*D9</f>
        <v>-8400</v>
      </c>
      <c r="E35" s="15" t="n">
        <f aca="false">-E34*E9</f>
        <v>-8400</v>
      </c>
    </row>
    <row r="36" customFormat="false" ht="15" hidden="false" customHeight="false" outlineLevel="0" collapsed="false">
      <c r="A36" s="3" t="s">
        <v>111</v>
      </c>
      <c r="B36" s="13" t="n">
        <f aca="false">B34+B35</f>
        <v>29750</v>
      </c>
      <c r="C36" s="13" t="n">
        <f aca="false">C34+C35</f>
        <v>29750</v>
      </c>
      <c r="D36" s="13" t="n">
        <f aca="false">D34+D35</f>
        <v>47600</v>
      </c>
      <c r="E36" s="13" t="n">
        <f aca="false">E34+E35</f>
        <v>47600</v>
      </c>
    </row>
    <row r="37" customFormat="false" ht="15" hidden="false" customHeight="false" outlineLevel="0" collapsed="false">
      <c r="A37" s="3"/>
      <c r="B37" s="3"/>
      <c r="C37" s="3"/>
      <c r="D37" s="3"/>
      <c r="E37" s="3"/>
    </row>
    <row r="38" customFormat="false" ht="15" hidden="false" customHeight="false" outlineLevel="0" collapsed="false">
      <c r="A38" s="3" t="s">
        <v>112</v>
      </c>
      <c r="B38" s="13" t="n">
        <f aca="false">B33+B36</f>
        <v>994760</v>
      </c>
      <c r="C38" s="13" t="n">
        <f aca="false">C33+C36</f>
        <v>1154360</v>
      </c>
      <c r="D38" s="13" t="n">
        <f aca="false">D33+D36</f>
        <v>1988450</v>
      </c>
      <c r="E38" s="13" t="n">
        <f aca="false">E33+E36</f>
        <v>2845160</v>
      </c>
    </row>
    <row r="40" customFormat="false" ht="15" hidden="false" customHeight="false" outlineLevel="0" collapsed="false">
      <c r="A40" s="8" t="s">
        <v>113</v>
      </c>
      <c r="B40" s="8"/>
      <c r="C40" s="8"/>
      <c r="D40" s="8"/>
      <c r="E40" s="8"/>
    </row>
    <row r="41" customFormat="false" ht="15" hidden="false" customHeight="false" outlineLevel="0" collapsed="false">
      <c r="A41" s="3" t="s">
        <v>114</v>
      </c>
      <c r="B41" s="13" t="n">
        <f aca="false">B16*B10</f>
        <v>342000</v>
      </c>
      <c r="C41" s="13" t="n">
        <f aca="false">C16*C10</f>
        <v>522000</v>
      </c>
      <c r="D41" s="13" t="n">
        <f aca="false">D16*D10</f>
        <v>786000</v>
      </c>
      <c r="E41" s="13" t="n">
        <f aca="false">E16*E10</f>
        <v>990000</v>
      </c>
    </row>
    <row r="42" customFormat="false" ht="15" hidden="false" customHeight="false" outlineLevel="0" collapsed="false">
      <c r="A42" s="3" t="s">
        <v>115</v>
      </c>
      <c r="B42" s="13" t="n">
        <f aca="false">B23*B11</f>
        <v>10000</v>
      </c>
      <c r="C42" s="13" t="n">
        <f aca="false">C23*C11</f>
        <v>10000</v>
      </c>
      <c r="D42" s="13" t="n">
        <f aca="false">D23*D11</f>
        <v>16000</v>
      </c>
      <c r="E42" s="13" t="n">
        <f aca="false">E23*E11</f>
        <v>16000</v>
      </c>
    </row>
    <row r="43" customFormat="false" ht="15" hidden="false" customHeight="false" outlineLevel="0" collapsed="false">
      <c r="A43" s="3" t="s">
        <v>116</v>
      </c>
      <c r="B43" s="13" t="n">
        <f aca="false">B41+B42</f>
        <v>352000</v>
      </c>
      <c r="C43" s="13" t="n">
        <f aca="false">C41+C42</f>
        <v>532000</v>
      </c>
      <c r="D43" s="13" t="n">
        <f aca="false">D41+D42</f>
        <v>802000</v>
      </c>
      <c r="E43" s="13" t="n">
        <f aca="false">E41+E42</f>
        <v>1006000</v>
      </c>
    </row>
    <row r="45" customFormat="false" ht="15" hidden="false" customHeight="false" outlineLevel="0" collapsed="false">
      <c r="A45" s="8" t="s">
        <v>117</v>
      </c>
      <c r="B45" s="8"/>
      <c r="C45" s="8"/>
      <c r="D45" s="8"/>
      <c r="E45" s="8"/>
    </row>
    <row r="46" customFormat="false" ht="15" hidden="false" customHeight="false" outlineLevel="0" collapsed="false">
      <c r="A46" s="3" t="s">
        <v>118</v>
      </c>
      <c r="B46" s="13" t="n">
        <f aca="false">B38-B43</f>
        <v>642760</v>
      </c>
      <c r="C46" s="13" t="n">
        <f aca="false">C38-C43</f>
        <v>622360</v>
      </c>
      <c r="D46" s="13" t="n">
        <f aca="false">D38-D43</f>
        <v>1186450</v>
      </c>
      <c r="E46" s="13" t="n">
        <f aca="false">E38-E43</f>
        <v>1839160</v>
      </c>
    </row>
    <row r="47" customFormat="false" ht="15" hidden="false" customHeight="false" outlineLevel="0" collapsed="false">
      <c r="A47" s="3" t="s">
        <v>119</v>
      </c>
      <c r="B47" s="13" t="n">
        <f aca="false">B46/B12</f>
        <v>11686545.4545455</v>
      </c>
      <c r="C47" s="13" t="n">
        <f aca="false">C46/C12</f>
        <v>11315636.3636364</v>
      </c>
      <c r="D47" s="13" t="n">
        <f aca="false">D46/D12</f>
        <v>21571818.1818182</v>
      </c>
      <c r="E47" s="13" t="n">
        <f aca="false">E46/E12</f>
        <v>33439272.7272727</v>
      </c>
    </row>
    <row r="48" customFormat="false" ht="15" hidden="false" customHeight="false" outlineLevel="0" collapsed="false">
      <c r="A48" s="3" t="s">
        <v>120</v>
      </c>
      <c r="B48" s="13" t="n">
        <f aca="false">B16*B13*10</f>
        <v>1710000</v>
      </c>
      <c r="C48" s="13" t="n">
        <f aca="false">C16*C13*10</f>
        <v>2610000</v>
      </c>
      <c r="D48" s="13" t="n">
        <f aca="false">D16*D13*10</f>
        <v>3930000</v>
      </c>
      <c r="E48" s="13" t="n">
        <f aca="false">E16*E13*10</f>
        <v>4950000</v>
      </c>
    </row>
    <row r="49" customFormat="false" ht="15" hidden="false" customHeight="false" outlineLevel="0" collapsed="false">
      <c r="A49" s="3"/>
      <c r="B49" s="3"/>
      <c r="C49" s="3"/>
      <c r="D49" s="3"/>
      <c r="E49" s="3"/>
    </row>
    <row r="50" customFormat="false" ht="15" hidden="false" customHeight="false" outlineLevel="0" collapsed="false">
      <c r="A50" s="3" t="s">
        <v>33</v>
      </c>
      <c r="B50" s="13" t="n">
        <f aca="false">B24</f>
        <v>20000000</v>
      </c>
      <c r="C50" s="13" t="n">
        <f aca="false">C24</f>
        <v>29000000</v>
      </c>
      <c r="D50" s="13" t="n">
        <f aca="false">D24</f>
        <v>43000000</v>
      </c>
      <c r="E50" s="13" t="n">
        <f aca="false">E24</f>
        <v>55000000</v>
      </c>
    </row>
    <row r="51" customFormat="false" ht="15" hidden="false" customHeight="false" outlineLevel="0" collapsed="false">
      <c r="A51" s="3" t="s">
        <v>121</v>
      </c>
      <c r="B51" s="15" t="n">
        <f aca="false">B50-B47-B48</f>
        <v>6603454.54545455</v>
      </c>
      <c r="C51" s="15" t="n">
        <f aca="false">C50-C47-C48</f>
        <v>15074363.6363636</v>
      </c>
      <c r="D51" s="15" t="n">
        <f aca="false">D50-D47-D48</f>
        <v>17498181.8181818</v>
      </c>
      <c r="E51" s="15" t="n">
        <f aca="false">E50-E47-E48</f>
        <v>16610727.2727273</v>
      </c>
    </row>
    <row r="52" customFormat="false" ht="15" hidden="false" customHeight="false" outlineLevel="0" collapsed="false">
      <c r="A52" s="3" t="s">
        <v>122</v>
      </c>
      <c r="B52" s="14" t="n">
        <f aca="false">IF(B50=0,0,B51/B50)</f>
        <v>0.330172727272727</v>
      </c>
      <c r="C52" s="14" t="n">
        <f aca="false">IF(C50=0,0,C51/C50)</f>
        <v>0.519805642633229</v>
      </c>
      <c r="D52" s="14" t="n">
        <f aca="false">IF(D50=0,0,D51/D50)</f>
        <v>0.406934460887949</v>
      </c>
      <c r="E52" s="14" t="n">
        <f aca="false">IF(E50=0,0,E51/E50)</f>
        <v>0.302013223140496</v>
      </c>
    </row>
    <row r="53" customFormat="false" ht="15" hidden="false" customHeight="false" outlineLevel="0" collapsed="false">
      <c r="A53" s="3" t="s">
        <v>123</v>
      </c>
      <c r="B53" s="16" t="str">
        <f aca="false">IF(B51&gt;5000000,"Yes","No")</f>
        <v>Yes</v>
      </c>
      <c r="C53" s="16" t="str">
        <f aca="false">IF(C51&gt;5000000,"Yes","No")</f>
        <v>Yes</v>
      </c>
      <c r="D53" s="16" t="str">
        <f aca="false">IF(D51&gt;5000000,"Yes","No")</f>
        <v>Yes</v>
      </c>
      <c r="E53" s="16" t="str">
        <f aca="false">IF(E51&gt;5000000,"Yes","No")</f>
        <v>Yes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LibreOffice/25.8.2.2$MacOSX_AARCH64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2026-04-16T14:52:20Z</dcterms:created>
  <dc:creator>openpyxl</dc:creator>
  <dc:description/>
  <dc:language>en-US</dc:language>
  <cp:lastModifiedBy/>
  <dcterms:modified xsi:type="dcterms:W3CDTF">2026-04-16T14:52:20Z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